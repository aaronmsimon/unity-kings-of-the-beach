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Unity\Projects\unity-kings-of-the-beach\Resources\"/>
    </mc:Choice>
  </mc:AlternateContent>
  <xr:revisionPtr revIDLastSave="0" documentId="13_ncr:1_{57989F6A-7850-42BD-99AE-B28EFFFEB12B}" xr6:coauthVersionLast="47" xr6:coauthVersionMax="47" xr10:uidLastSave="{00000000-0000-0000-0000-000000000000}"/>
  <bookViews>
    <workbookView xWindow="-103" yWindow="-103" windowWidth="33120" windowHeight="18000" activeTab="1" xr2:uid="{3DA3E498-BB52-4A8E-86C7-55BEFE8B3231}"/>
  </bookViews>
  <sheets>
    <sheet name="Original Research" sheetId="1" r:id="rId1"/>
    <sheet name="Experim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5" i="2" s="1"/>
  <c r="C4" i="2"/>
  <c r="D4" i="2" s="1"/>
  <c r="E4" i="2" s="1"/>
  <c r="A6" i="2"/>
  <c r="A7" i="2" s="1"/>
  <c r="A8" i="2" s="1"/>
  <c r="A9" i="2" s="1"/>
  <c r="A10" i="2" s="1"/>
  <c r="A11" i="2" s="1"/>
  <c r="A12" i="2" s="1"/>
  <c r="A13" i="2" s="1"/>
  <c r="A14" i="2" s="1"/>
  <c r="E14" i="2" s="1"/>
  <c r="B26" i="1"/>
  <c r="B25" i="1"/>
  <c r="B24" i="1"/>
  <c r="B23" i="1"/>
  <c r="B22" i="1"/>
  <c r="B21" i="1"/>
  <c r="B20" i="1"/>
  <c r="B19" i="1"/>
  <c r="B18" i="1"/>
  <c r="B17" i="1"/>
  <c r="B16" i="1"/>
  <c r="C26" i="1"/>
  <c r="E26" i="1" s="1"/>
  <c r="G26" i="1" s="1"/>
  <c r="C25" i="1"/>
  <c r="E25" i="1" s="1"/>
  <c r="G25" i="1" s="1"/>
  <c r="C24" i="1"/>
  <c r="E24" i="1" s="1"/>
  <c r="G24" i="1" s="1"/>
  <c r="C23" i="1"/>
  <c r="E23" i="1" s="1"/>
  <c r="G23" i="1" s="1"/>
  <c r="C22" i="1"/>
  <c r="E22" i="1" s="1"/>
  <c r="G22" i="1" s="1"/>
  <c r="C21" i="1"/>
  <c r="E21" i="1" s="1"/>
  <c r="G21" i="1" s="1"/>
  <c r="C20" i="1"/>
  <c r="E20" i="1" s="1"/>
  <c r="G20" i="1" s="1"/>
  <c r="C19" i="1"/>
  <c r="E19" i="1" s="1"/>
  <c r="G19" i="1" s="1"/>
  <c r="C18" i="1"/>
  <c r="E18" i="1" s="1"/>
  <c r="G18" i="1" s="1"/>
  <c r="C17" i="1"/>
  <c r="E17" i="1" s="1"/>
  <c r="L16" i="1"/>
  <c r="J16" i="1"/>
  <c r="K16" i="1" s="1"/>
  <c r="A9" i="1"/>
  <c r="A3" i="1"/>
  <c r="A11" i="1" s="1"/>
  <c r="E5" i="2" l="1"/>
  <c r="B9" i="2"/>
  <c r="C9" i="2"/>
  <c r="D9" i="2"/>
  <c r="E9" i="2"/>
  <c r="B10" i="2"/>
  <c r="C10" i="2"/>
  <c r="B12" i="2"/>
  <c r="D12" i="2"/>
  <c r="B7" i="2"/>
  <c r="D7" i="2"/>
  <c r="C8" i="2"/>
  <c r="C14" i="2"/>
  <c r="D10" i="2"/>
  <c r="C5" i="2"/>
  <c r="C11" i="2"/>
  <c r="D11" i="2"/>
  <c r="B6" i="2"/>
  <c r="C12" i="2"/>
  <c r="E12" i="2"/>
  <c r="C13" i="2"/>
  <c r="E13" i="2"/>
  <c r="D8" i="2"/>
  <c r="D14" i="2"/>
  <c r="E10" i="2"/>
  <c r="B11" i="2"/>
  <c r="D5" i="2"/>
  <c r="E11" i="2"/>
  <c r="C6" i="2"/>
  <c r="D6" i="2"/>
  <c r="E6" i="2"/>
  <c r="B13" i="2"/>
  <c r="C7" i="2"/>
  <c r="D13" i="2"/>
  <c r="E7" i="2"/>
  <c r="B8" i="2"/>
  <c r="B14" i="2"/>
  <c r="E8" i="2"/>
  <c r="H16" i="1"/>
  <c r="H17" i="1"/>
  <c r="H18" i="1"/>
  <c r="H19" i="1"/>
  <c r="H20" i="1"/>
  <c r="H21" i="1"/>
  <c r="H22" i="1"/>
  <c r="H23" i="1"/>
  <c r="H24" i="1"/>
  <c r="H25" i="1"/>
  <c r="H26" i="1"/>
  <c r="G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tc={DB3CED64-3FEE-468A-A1F1-AA87422B5B2D}</author>
  </authors>
  <commentList>
    <comment ref="B2" authorId="0" shapeId="0" xr:uid="{DB3CED64-3FEE-468A-A1F1-AA87422B5B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stateInfo.normalizedTime</t>
      </text>
    </comment>
  </commentList>
</comments>
</file>

<file path=xl/sharedStrings.xml><?xml version="1.0" encoding="utf-8"?>
<sst xmlns="http://schemas.openxmlformats.org/spreadsheetml/2006/main" count="28" uniqueCount="25">
  <si>
    <t>idealSpikePoint</t>
  </si>
  <si>
    <t>timingVar</t>
  </si>
  <si>
    <t>actualSpikePoint</t>
  </si>
  <si>
    <t>// early = further, late = closer</t>
  </si>
  <si>
    <t>window</t>
  </si>
  <si>
    <t>SpikeSkill</t>
  </si>
  <si>
    <t>Skill_min</t>
  </si>
  <si>
    <t>SpikeTimingWindow_min</t>
  </si>
  <si>
    <t>SpikeTimingWindow_max</t>
  </si>
  <si>
    <t>Skill_max</t>
  </si>
  <si>
    <t>spikeWindowPenalty</t>
  </si>
  <si>
    <t>penalty</t>
  </si>
  <si>
    <t>Testing</t>
  </si>
  <si>
    <t>spikeAnim</t>
  </si>
  <si>
    <t>targetX</t>
  </si>
  <si>
    <t>newTargetX</t>
  </si>
  <si>
    <t>chkTiming</t>
  </si>
  <si>
    <t>chkPen</t>
  </si>
  <si>
    <t>TargetAdj</t>
  </si>
  <si>
    <t>ideal</t>
  </si>
  <si>
    <t>meanvar</t>
  </si>
  <si>
    <t>// 15 / 25 frames in animation</t>
  </si>
  <si>
    <t>Skill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</si>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</sst>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rgb="FF00B05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vertical="center"/>
    </xf>
    <xf numFmtId="165" fontId="2" fillId="0" borderId="0" xfId="0" applyNumberFormat="1" applyFont="1"/>
    <xf numFmtId="1" fontId="2" fillId="0" borderId="0" xfId="0" applyNumberFormat="1" applyFont="1"/>
    <xf numFmtId="0" fontId="4" fillId="0" borderId="0" xfId="0" applyFont="1"/>
    <xf numFmtId="2" fontId="0" fillId="0" borderId="0" xfId="0" applyNumberFormat="1"/>
    <xf numFmtId="166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5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  <a:r>
              <a:rPr lang="en-US" baseline="0"/>
              <a:t> Variance to Ideal</a:t>
            </a:r>
          </a:p>
          <a:p>
            <a:pPr>
              <a:defRPr/>
            </a:pPr>
            <a:r>
              <a:rPr lang="en-US" sz="900" baseline="0"/>
              <a:t>n=11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'Original Research'!$C$16:$C$26</c:f>
              <c:numCache>
                <c:formatCode>General</c:formatCode>
                <c:ptCount val="11"/>
                <c:pt idx="0">
                  <c:v>0.1410187</c:v>
                </c:pt>
                <c:pt idx="1">
                  <c:v>0.28822379999999997</c:v>
                </c:pt>
                <c:pt idx="2">
                  <c:v>0.16348179999999995</c:v>
                </c:pt>
                <c:pt idx="3">
                  <c:v>0.20702129999999996</c:v>
                </c:pt>
                <c:pt idx="4">
                  <c:v>0.18871959999999999</c:v>
                </c:pt>
                <c:pt idx="5">
                  <c:v>0.18846379999999996</c:v>
                </c:pt>
                <c:pt idx="6">
                  <c:v>0.21658879999999997</c:v>
                </c:pt>
                <c:pt idx="7">
                  <c:v>0.21412359999999997</c:v>
                </c:pt>
                <c:pt idx="8">
                  <c:v>3.388469999999999E-2</c:v>
                </c:pt>
                <c:pt idx="9">
                  <c:v>0.17864529999999995</c:v>
                </c:pt>
                <c:pt idx="10">
                  <c:v>0.1232162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4-47A7-9661-7659C72662DF}"/>
            </c:ext>
          </c:extLst>
        </c:ser>
        <c:ser>
          <c:idx val="1"/>
          <c:order val="1"/>
          <c:spPr>
            <a:ln w="15875" cap="rnd" cmpd="sng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'Original Research'!$H$16:$H$26</c:f>
              <c:numCache>
                <c:formatCode>General</c:formatCode>
                <c:ptCount val="11"/>
                <c:pt idx="0">
                  <c:v>0.17667159999999998</c:v>
                </c:pt>
                <c:pt idx="1">
                  <c:v>0.17667159999999998</c:v>
                </c:pt>
                <c:pt idx="2">
                  <c:v>0.17667159999999998</c:v>
                </c:pt>
                <c:pt idx="3">
                  <c:v>0.17667159999999998</c:v>
                </c:pt>
                <c:pt idx="4">
                  <c:v>0.17667159999999998</c:v>
                </c:pt>
                <c:pt idx="5">
                  <c:v>0.17667159999999998</c:v>
                </c:pt>
                <c:pt idx="6">
                  <c:v>0.17667159999999998</c:v>
                </c:pt>
                <c:pt idx="7">
                  <c:v>0.17667159999999998</c:v>
                </c:pt>
                <c:pt idx="8">
                  <c:v>0.17667159999999998</c:v>
                </c:pt>
                <c:pt idx="9">
                  <c:v>0.17667159999999998</c:v>
                </c:pt>
                <c:pt idx="10">
                  <c:v>0.17667159999999998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4-47A7-9661-7659C7266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290192"/>
        <c:axId val="1848291632"/>
      </c:lineChart>
      <c:catAx>
        <c:axId val="184829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91632"/>
        <c:crosses val="autoZero"/>
        <c:auto val="1"/>
        <c:lblAlgn val="ctr"/>
        <c:lblOffset val="100"/>
        <c:noMultiLvlLbl val="0"/>
      </c:catAx>
      <c:valAx>
        <c:axId val="184829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Penalty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'Original Research'!$E$17:$E$26</c:f>
              <c:numCache>
                <c:formatCode>General</c:formatCode>
                <c:ptCount val="10"/>
                <c:pt idx="0">
                  <c:v>2.8822379999999996</c:v>
                </c:pt>
                <c:pt idx="1">
                  <c:v>1.6348179999999997</c:v>
                </c:pt>
                <c:pt idx="2">
                  <c:v>2.0702129999999999</c:v>
                </c:pt>
                <c:pt idx="3">
                  <c:v>1.8871959999999999</c:v>
                </c:pt>
                <c:pt idx="4">
                  <c:v>1.8846379999999996</c:v>
                </c:pt>
                <c:pt idx="5">
                  <c:v>2.1658879999999998</c:v>
                </c:pt>
                <c:pt idx="6">
                  <c:v>2.1412359999999997</c:v>
                </c:pt>
                <c:pt idx="7">
                  <c:v>0.3388469999999999</c:v>
                </c:pt>
                <c:pt idx="8">
                  <c:v>1.7864529999999994</c:v>
                </c:pt>
                <c:pt idx="9">
                  <c:v>1.232162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1-48F5-9D27-A9B518767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290192"/>
        <c:axId val="1848291632"/>
      </c:lineChart>
      <c:catAx>
        <c:axId val="184829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91632"/>
        <c:crosses val="autoZero"/>
        <c:auto val="1"/>
        <c:lblAlgn val="ctr"/>
        <c:lblOffset val="100"/>
        <c:noMultiLvlLbl val="0"/>
      </c:catAx>
      <c:valAx>
        <c:axId val="184829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8ADED-5425-41F9-91DB-06A6C7682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20</xdr:col>
      <xdr:colOff>0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CF8302-565B-42BA-8ED9-B8E1780A0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aron Simon" id="{33D13044-4263-4D1B-9EC8-F985B820066C}" userId="57594f7a9aee8b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5-13T06:04:20.05" personId="{33D13044-4263-4D1B-9EC8-F985B820066C}" id="{DB3CED64-3FEE-468A-A1F1-AA87422B5B2D}">
    <text>stateInfo.normalizedTime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AAC9-9E70-4EFA-830F-7B6A2A493278}">
  <dimension ref="A1:L26"/>
  <sheetViews>
    <sheetView workbookViewId="0"/>
  </sheetViews>
  <sheetFormatPr defaultRowHeight="14.6" x14ac:dyDescent="0.4"/>
  <cols>
    <col min="1" max="3" width="9.15234375" customWidth="1"/>
  </cols>
  <sheetData>
    <row r="1" spans="1:12" x14ac:dyDescent="0.4">
      <c r="A1">
        <v>0.6</v>
      </c>
      <c r="B1" t="s">
        <v>0</v>
      </c>
      <c r="D1" s="5" t="s">
        <v>21</v>
      </c>
    </row>
    <row r="2" spans="1:12" x14ac:dyDescent="0.4">
      <c r="A2" s="3">
        <v>0.7</v>
      </c>
      <c r="B2" s="1" t="s">
        <v>2</v>
      </c>
    </row>
    <row r="3" spans="1:12" x14ac:dyDescent="0.4">
      <c r="A3" s="4">
        <f>A1-A2</f>
        <v>-9.9999999999999978E-2</v>
      </c>
      <c r="B3" t="s">
        <v>1</v>
      </c>
      <c r="C3" s="5" t="s">
        <v>3</v>
      </c>
    </row>
    <row r="4" spans="1:12" x14ac:dyDescent="0.4">
      <c r="A4" s="6">
        <v>5</v>
      </c>
      <c r="B4" t="s">
        <v>5</v>
      </c>
    </row>
    <row r="5" spans="1:12" x14ac:dyDescent="0.4">
      <c r="A5" s="6">
        <v>0.1</v>
      </c>
      <c r="B5" t="s">
        <v>7</v>
      </c>
    </row>
    <row r="6" spans="1:12" x14ac:dyDescent="0.4">
      <c r="A6" s="6">
        <v>1</v>
      </c>
      <c r="B6" t="s">
        <v>8</v>
      </c>
    </row>
    <row r="7" spans="1:12" x14ac:dyDescent="0.4">
      <c r="A7" s="7">
        <v>1</v>
      </c>
      <c r="B7" t="s">
        <v>6</v>
      </c>
    </row>
    <row r="8" spans="1:12" x14ac:dyDescent="0.4">
      <c r="A8" s="7">
        <v>10</v>
      </c>
      <c r="B8" t="s">
        <v>9</v>
      </c>
    </row>
    <row r="9" spans="1:12" x14ac:dyDescent="0.4">
      <c r="A9">
        <f>(A4-A7)*(A6-A5)/(A8-A7)+A5</f>
        <v>0.5</v>
      </c>
      <c r="B9" t="s">
        <v>4</v>
      </c>
    </row>
    <row r="10" spans="1:12" x14ac:dyDescent="0.4">
      <c r="A10" s="2">
        <v>10</v>
      </c>
      <c r="B10" t="s">
        <v>10</v>
      </c>
    </row>
    <row r="11" spans="1:12" x14ac:dyDescent="0.4">
      <c r="A11">
        <f>A3*A10</f>
        <v>-0.99999999999999978</v>
      </c>
      <c r="B11" t="s">
        <v>11</v>
      </c>
    </row>
    <row r="14" spans="1:12" x14ac:dyDescent="0.4">
      <c r="A14" s="8" t="s">
        <v>12</v>
      </c>
      <c r="B14" s="8"/>
      <c r="C14" s="8"/>
    </row>
    <row r="15" spans="1:12" x14ac:dyDescent="0.4">
      <c r="A15" t="s">
        <v>13</v>
      </c>
      <c r="B15" t="s">
        <v>19</v>
      </c>
      <c r="C15" t="s">
        <v>1</v>
      </c>
      <c r="D15" t="s">
        <v>4</v>
      </c>
      <c r="E15" t="s">
        <v>11</v>
      </c>
      <c r="F15" t="s">
        <v>14</v>
      </c>
      <c r="G15" t="s">
        <v>15</v>
      </c>
      <c r="H15" t="s">
        <v>20</v>
      </c>
      <c r="J15" t="s">
        <v>16</v>
      </c>
      <c r="K15" t="s">
        <v>17</v>
      </c>
      <c r="L15" t="s">
        <v>18</v>
      </c>
    </row>
    <row r="16" spans="1:12" x14ac:dyDescent="0.4">
      <c r="A16">
        <v>0.4839813</v>
      </c>
      <c r="B16">
        <f>A$1</f>
        <v>0.6</v>
      </c>
      <c r="C16">
        <v>0.1410187</v>
      </c>
      <c r="D16">
        <v>0.7</v>
      </c>
      <c r="E16">
        <v>1.4101870000000001</v>
      </c>
      <c r="F16">
        <v>6.23</v>
      </c>
      <c r="G16">
        <v>7.64</v>
      </c>
      <c r="H16">
        <f>AVERAGE(C$16:C$100)</f>
        <v>0.17667159999999998</v>
      </c>
      <c r="J16">
        <f>A1-A16</f>
        <v>0.11601869999999997</v>
      </c>
      <c r="K16">
        <f>J16*A10</f>
        <v>1.1601869999999996</v>
      </c>
      <c r="L16">
        <f>G16-F16</f>
        <v>1.4099999999999993</v>
      </c>
    </row>
    <row r="17" spans="1:8" x14ac:dyDescent="0.4">
      <c r="A17" s="10">
        <v>0.3117762</v>
      </c>
      <c r="B17">
        <f t="shared" ref="B17:B26" si="0">A$1</f>
        <v>0.6</v>
      </c>
      <c r="C17">
        <f t="shared" ref="C17:C26" si="1">A$1-A17</f>
        <v>0.28822379999999997</v>
      </c>
      <c r="E17">
        <f t="shared" ref="E17:E26" si="2">C17*A$10</f>
        <v>2.8822379999999996</v>
      </c>
      <c r="F17" s="2">
        <v>6.89</v>
      </c>
      <c r="G17" s="9">
        <f>F17+E17</f>
        <v>9.7722379999999998</v>
      </c>
      <c r="H17">
        <f t="shared" ref="H17:H26" si="3">AVERAGE(C$16:C$100)</f>
        <v>0.17667159999999998</v>
      </c>
    </row>
    <row r="18" spans="1:8" x14ac:dyDescent="0.4">
      <c r="A18" s="10">
        <v>0.43651820000000002</v>
      </c>
      <c r="B18">
        <f t="shared" si="0"/>
        <v>0.6</v>
      </c>
      <c r="C18">
        <f t="shared" si="1"/>
        <v>0.16348179999999995</v>
      </c>
      <c r="E18">
        <f t="shared" si="2"/>
        <v>1.6348179999999997</v>
      </c>
      <c r="F18" s="2">
        <v>1.58</v>
      </c>
      <c r="G18" s="9">
        <f t="shared" ref="G18:G22" si="4">F18+E18</f>
        <v>3.2148179999999997</v>
      </c>
      <c r="H18">
        <f t="shared" si="3"/>
        <v>0.17667159999999998</v>
      </c>
    </row>
    <row r="19" spans="1:8" x14ac:dyDescent="0.4">
      <c r="A19" s="10">
        <v>0.39297870000000001</v>
      </c>
      <c r="B19">
        <f t="shared" si="0"/>
        <v>0.6</v>
      </c>
      <c r="C19">
        <f t="shared" si="1"/>
        <v>0.20702129999999996</v>
      </c>
      <c r="E19">
        <f t="shared" si="2"/>
        <v>2.0702129999999999</v>
      </c>
      <c r="F19" s="2">
        <v>1.01</v>
      </c>
      <c r="G19" s="9">
        <f t="shared" si="4"/>
        <v>3.0802129999999996</v>
      </c>
      <c r="H19">
        <f t="shared" si="3"/>
        <v>0.17667159999999998</v>
      </c>
    </row>
    <row r="20" spans="1:8" x14ac:dyDescent="0.4">
      <c r="A20" s="10">
        <v>0.41128039999999999</v>
      </c>
      <c r="B20">
        <f t="shared" si="0"/>
        <v>0.6</v>
      </c>
      <c r="C20">
        <f t="shared" si="1"/>
        <v>0.18871959999999999</v>
      </c>
      <c r="E20">
        <f t="shared" si="2"/>
        <v>1.8871959999999999</v>
      </c>
      <c r="F20" s="2">
        <v>6.03</v>
      </c>
      <c r="G20" s="9">
        <f t="shared" si="4"/>
        <v>7.9171960000000006</v>
      </c>
      <c r="H20">
        <f t="shared" si="3"/>
        <v>0.17667159999999998</v>
      </c>
    </row>
    <row r="21" spans="1:8" x14ac:dyDescent="0.4">
      <c r="A21" s="10">
        <v>0.41153620000000002</v>
      </c>
      <c r="B21">
        <f t="shared" si="0"/>
        <v>0.6</v>
      </c>
      <c r="C21">
        <f t="shared" si="1"/>
        <v>0.18846379999999996</v>
      </c>
      <c r="E21">
        <f t="shared" si="2"/>
        <v>1.8846379999999996</v>
      </c>
      <c r="F21" s="2">
        <v>8.2899999999999991</v>
      </c>
      <c r="G21" s="9">
        <f t="shared" si="4"/>
        <v>10.174637999999998</v>
      </c>
      <c r="H21">
        <f t="shared" si="3"/>
        <v>0.17667159999999998</v>
      </c>
    </row>
    <row r="22" spans="1:8" x14ac:dyDescent="0.4">
      <c r="A22" s="10">
        <v>0.38341120000000001</v>
      </c>
      <c r="B22">
        <f t="shared" si="0"/>
        <v>0.6</v>
      </c>
      <c r="C22">
        <f t="shared" si="1"/>
        <v>0.21658879999999997</v>
      </c>
      <c r="E22">
        <f t="shared" si="2"/>
        <v>2.1658879999999998</v>
      </c>
      <c r="F22" s="2">
        <v>4</v>
      </c>
      <c r="G22" s="9">
        <f t="shared" si="4"/>
        <v>6.1658879999999998</v>
      </c>
      <c r="H22">
        <f t="shared" si="3"/>
        <v>0.17667159999999998</v>
      </c>
    </row>
    <row r="23" spans="1:8" x14ac:dyDescent="0.4">
      <c r="A23" s="10">
        <v>0.38587640000000001</v>
      </c>
      <c r="B23">
        <f t="shared" si="0"/>
        <v>0.6</v>
      </c>
      <c r="C23">
        <f t="shared" si="1"/>
        <v>0.21412359999999997</v>
      </c>
      <c r="E23">
        <f t="shared" si="2"/>
        <v>2.1412359999999997</v>
      </c>
      <c r="F23" s="2">
        <v>4</v>
      </c>
      <c r="G23" s="9">
        <f t="shared" ref="G23:G26" si="5">F23+E23</f>
        <v>6.1412359999999993</v>
      </c>
      <c r="H23">
        <f t="shared" si="3"/>
        <v>0.17667159999999998</v>
      </c>
    </row>
    <row r="24" spans="1:8" x14ac:dyDescent="0.4">
      <c r="A24" s="10">
        <v>0.56611529999999999</v>
      </c>
      <c r="B24">
        <f t="shared" si="0"/>
        <v>0.6</v>
      </c>
      <c r="C24">
        <f t="shared" si="1"/>
        <v>3.388469999999999E-2</v>
      </c>
      <c r="E24">
        <f t="shared" si="2"/>
        <v>0.3388469999999999</v>
      </c>
      <c r="F24" s="2">
        <v>4</v>
      </c>
      <c r="G24" s="9">
        <f t="shared" si="5"/>
        <v>4.3388469999999995</v>
      </c>
      <c r="H24">
        <f t="shared" si="3"/>
        <v>0.17667159999999998</v>
      </c>
    </row>
    <row r="25" spans="1:8" x14ac:dyDescent="0.4">
      <c r="A25" s="10">
        <v>0.42135470000000003</v>
      </c>
      <c r="B25">
        <f t="shared" si="0"/>
        <v>0.6</v>
      </c>
      <c r="C25">
        <f t="shared" si="1"/>
        <v>0.17864529999999995</v>
      </c>
      <c r="E25">
        <f t="shared" si="2"/>
        <v>1.7864529999999994</v>
      </c>
      <c r="F25" s="2">
        <v>4</v>
      </c>
      <c r="G25" s="9">
        <f t="shared" si="5"/>
        <v>5.7864529999999998</v>
      </c>
      <c r="H25">
        <f t="shared" si="3"/>
        <v>0.17667159999999998</v>
      </c>
    </row>
    <row r="26" spans="1:8" x14ac:dyDescent="0.4">
      <c r="A26" s="10">
        <v>0.47678379999999998</v>
      </c>
      <c r="B26">
        <f t="shared" si="0"/>
        <v>0.6</v>
      </c>
      <c r="C26">
        <f t="shared" si="1"/>
        <v>0.1232162</v>
      </c>
      <c r="E26">
        <f t="shared" si="2"/>
        <v>1.232162</v>
      </c>
      <c r="F26" s="2">
        <v>4</v>
      </c>
      <c r="G26" s="9">
        <f t="shared" si="5"/>
        <v>5.2321619999999998</v>
      </c>
      <c r="H26">
        <f t="shared" si="3"/>
        <v>0.17667159999999998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094-5447-47CE-B3C6-3FB550F6F793}">
  <dimension ref="A1:E14"/>
  <sheetViews>
    <sheetView tabSelected="1" workbookViewId="0">
      <selection activeCell="B1" sqref="B1"/>
    </sheetView>
  </sheetViews>
  <sheetFormatPr defaultColWidth="9.15234375" defaultRowHeight="14.6" x14ac:dyDescent="0.4"/>
  <sheetData>
    <row r="1" spans="1:5" x14ac:dyDescent="0.4">
      <c r="A1" s="8" t="s">
        <v>23</v>
      </c>
      <c r="B1" s="16">
        <v>0.2</v>
      </c>
    </row>
    <row r="2" spans="1:5" x14ac:dyDescent="0.4">
      <c r="A2" s="8" t="s">
        <v>24</v>
      </c>
      <c r="B2" s="16">
        <f>B1*10</f>
        <v>2</v>
      </c>
    </row>
    <row r="3" spans="1:5" x14ac:dyDescent="0.4">
      <c r="A3" s="8"/>
      <c r="B3" s="14"/>
    </row>
    <row r="4" spans="1:5" x14ac:dyDescent="0.4">
      <c r="A4" s="12" t="s">
        <v>22</v>
      </c>
      <c r="B4" s="11">
        <v>0.2</v>
      </c>
      <c r="C4" s="11">
        <f>B4+0.1</f>
        <v>0.30000000000000004</v>
      </c>
      <c r="D4" s="11">
        <f>C4+0.1</f>
        <v>0.4</v>
      </c>
      <c r="E4" s="11">
        <f>D4+0.1</f>
        <v>0.5</v>
      </c>
    </row>
    <row r="5" spans="1:5" x14ac:dyDescent="0.4">
      <c r="A5" s="13">
        <v>1</v>
      </c>
      <c r="B5" s="15">
        <f>($B$2+($B$1-$B$2)*(($A5-1)/9))*B$4</f>
        <v>0.4</v>
      </c>
      <c r="C5" s="15">
        <f>($B$2+($B$1-$B$2)*(($A5-1)/9))*C$4</f>
        <v>0.60000000000000009</v>
      </c>
      <c r="D5" s="15">
        <f>($B$2+($B$1-$B$2)*(($A5-1)/9))*D$4</f>
        <v>0.8</v>
      </c>
      <c r="E5" s="15">
        <f>($B$2+($B$1-$B$2)*(($A5-1)/9))*E$4</f>
        <v>1</v>
      </c>
    </row>
    <row r="6" spans="1:5" x14ac:dyDescent="0.4">
      <c r="A6" s="13">
        <f>A5+1</f>
        <v>2</v>
      </c>
      <c r="B6" s="15">
        <f>($B$2+($B$1-$B$2)*(($A6-1)/9))*B$4</f>
        <v>0.36000000000000004</v>
      </c>
      <c r="C6" s="15">
        <f>($B$2+($B$1-$B$2)*(($A6-1)/9))*C$4</f>
        <v>0.54000000000000015</v>
      </c>
      <c r="D6" s="15">
        <f>($B$2+($B$1-$B$2)*(($A6-1)/9))*D$4</f>
        <v>0.72000000000000008</v>
      </c>
      <c r="E6" s="15">
        <f>($B$2+($B$1-$B$2)*(($A6-1)/9))*E$4</f>
        <v>0.9</v>
      </c>
    </row>
    <row r="7" spans="1:5" x14ac:dyDescent="0.4">
      <c r="A7" s="13">
        <f t="shared" ref="A7:A14" si="0">A6+1</f>
        <v>3</v>
      </c>
      <c r="B7" s="15">
        <f>($B$2+($B$1-$B$2)*(($A7-1)/9))*B$4</f>
        <v>0.32000000000000006</v>
      </c>
      <c r="C7" s="15">
        <f>($B$2+($B$1-$B$2)*(($A7-1)/9))*C$4</f>
        <v>0.48000000000000009</v>
      </c>
      <c r="D7" s="15">
        <f>($B$2+($B$1-$B$2)*(($A7-1)/9))*D$4</f>
        <v>0.64000000000000012</v>
      </c>
      <c r="E7" s="15">
        <f>($B$2+($B$1-$B$2)*(($A7-1)/9))*E$4</f>
        <v>0.8</v>
      </c>
    </row>
    <row r="8" spans="1:5" x14ac:dyDescent="0.4">
      <c r="A8" s="13">
        <f t="shared" si="0"/>
        <v>4</v>
      </c>
      <c r="B8" s="15">
        <f>($B$2+($B$1-$B$2)*(($A8-1)/9))*B$4</f>
        <v>0.27999999999999997</v>
      </c>
      <c r="C8" s="15">
        <f>($B$2+($B$1-$B$2)*(($A8-1)/9))*C$4</f>
        <v>0.42000000000000004</v>
      </c>
      <c r="D8" s="15">
        <f>($B$2+($B$1-$B$2)*(($A8-1)/9))*D$4</f>
        <v>0.55999999999999994</v>
      </c>
      <c r="E8" s="15">
        <f>($B$2+($B$1-$B$2)*(($A8-1)/9))*E$4</f>
        <v>0.7</v>
      </c>
    </row>
    <row r="9" spans="1:5" x14ac:dyDescent="0.4">
      <c r="A9" s="13">
        <f t="shared" si="0"/>
        <v>5</v>
      </c>
      <c r="B9" s="15">
        <f>($B$2+($B$1-$B$2)*(($A9-1)/9))*B$4</f>
        <v>0.24000000000000005</v>
      </c>
      <c r="C9" s="15">
        <f>($B$2+($B$1-$B$2)*(($A9-1)/9))*C$4</f>
        <v>0.3600000000000001</v>
      </c>
      <c r="D9" s="15">
        <f>($B$2+($B$1-$B$2)*(($A9-1)/9))*D$4</f>
        <v>0.48000000000000009</v>
      </c>
      <c r="E9" s="15">
        <f>($B$2+($B$1-$B$2)*(($A9-1)/9))*E$4</f>
        <v>0.60000000000000009</v>
      </c>
    </row>
    <row r="10" spans="1:5" x14ac:dyDescent="0.4">
      <c r="A10" s="13">
        <f t="shared" si="0"/>
        <v>6</v>
      </c>
      <c r="B10" s="15">
        <f>($B$2+($B$1-$B$2)*(($A10-1)/9))*B$4</f>
        <v>0.2</v>
      </c>
      <c r="C10" s="15">
        <f>($B$2+($B$1-$B$2)*(($A10-1)/9))*C$4</f>
        <v>0.30000000000000004</v>
      </c>
      <c r="D10" s="15">
        <f>($B$2+($B$1-$B$2)*(($A10-1)/9))*D$4</f>
        <v>0.4</v>
      </c>
      <c r="E10" s="15">
        <f>($B$2+($B$1-$B$2)*(($A10-1)/9))*E$4</f>
        <v>0.5</v>
      </c>
    </row>
    <row r="11" spans="1:5" x14ac:dyDescent="0.4">
      <c r="A11" s="13">
        <f t="shared" si="0"/>
        <v>7</v>
      </c>
      <c r="B11" s="15">
        <f>($B$2+($B$1-$B$2)*(($A11-1)/9))*B$4</f>
        <v>0.16000000000000003</v>
      </c>
      <c r="C11" s="15">
        <f>($B$2+($B$1-$B$2)*(($A11-1)/9))*C$4</f>
        <v>0.24000000000000005</v>
      </c>
      <c r="D11" s="15">
        <f>($B$2+($B$1-$B$2)*(($A11-1)/9))*D$4</f>
        <v>0.32000000000000006</v>
      </c>
      <c r="E11" s="15">
        <f>($B$2+($B$1-$B$2)*(($A11-1)/9))*E$4</f>
        <v>0.4</v>
      </c>
    </row>
    <row r="12" spans="1:5" x14ac:dyDescent="0.4">
      <c r="A12" s="13">
        <f t="shared" si="0"/>
        <v>8</v>
      </c>
      <c r="B12" s="15">
        <f>($B$2+($B$1-$B$2)*(($A12-1)/9))*B$4</f>
        <v>0.11999999999999998</v>
      </c>
      <c r="C12" s="15">
        <f>($B$2+($B$1-$B$2)*(($A12-1)/9))*C$4</f>
        <v>0.18</v>
      </c>
      <c r="D12" s="15">
        <f>($B$2+($B$1-$B$2)*(($A12-1)/9))*D$4</f>
        <v>0.23999999999999996</v>
      </c>
      <c r="E12" s="15">
        <f>($B$2+($B$1-$B$2)*(($A12-1)/9))*E$4</f>
        <v>0.29999999999999993</v>
      </c>
    </row>
    <row r="13" spans="1:5" x14ac:dyDescent="0.4">
      <c r="A13" s="13">
        <f t="shared" si="0"/>
        <v>9</v>
      </c>
      <c r="B13" s="15">
        <f>($B$2+($B$1-$B$2)*(($A13-1)/9))*B$4</f>
        <v>8.0000000000000029E-2</v>
      </c>
      <c r="C13" s="15">
        <f>($B$2+($B$1-$B$2)*(($A13-1)/9))*C$4</f>
        <v>0.12000000000000005</v>
      </c>
      <c r="D13" s="15">
        <f>($B$2+($B$1-$B$2)*(($A13-1)/9))*D$4</f>
        <v>0.16000000000000006</v>
      </c>
      <c r="E13" s="15">
        <f>($B$2+($B$1-$B$2)*(($A13-1)/9))*E$4</f>
        <v>0.20000000000000007</v>
      </c>
    </row>
    <row r="14" spans="1:5" x14ac:dyDescent="0.4">
      <c r="A14" s="13">
        <f t="shared" si="0"/>
        <v>10</v>
      </c>
      <c r="B14" s="15">
        <f>($B$2+($B$1-$B$2)*(($A14-1)/9))*B$4</f>
        <v>3.9999999999999994E-2</v>
      </c>
      <c r="C14" s="15">
        <f>($B$2+($B$1-$B$2)*(($A14-1)/9))*C$4</f>
        <v>0.06</v>
      </c>
      <c r="D14" s="15">
        <f>($B$2+($B$1-$B$2)*(($A14-1)/9))*D$4</f>
        <v>7.9999999999999988E-2</v>
      </c>
      <c r="E14" s="15">
        <f>($B$2+($B$1-$B$2)*(($A14-1)/9))*E$4</f>
        <v>9.9999999999999978E-2</v>
      </c>
    </row>
  </sheetData>
  <conditionalFormatting sqref="B5:E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Research</vt:lpstr>
      <vt:lpstr>Experimentation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Simon</dc:creator>
  <cp:lastModifiedBy>Aaron Simon</cp:lastModifiedBy>
  <dcterms:created xsi:type="dcterms:W3CDTF">2026-05-13T06:02:57Z</dcterms:created>
  <dcterms:modified xsi:type="dcterms:W3CDTF">2026-05-14T04:28:24Z</dcterms:modified>
</cp:coreProperties>
</file>